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6664ad72ee42be/Documents/"/>
    </mc:Choice>
  </mc:AlternateContent>
  <xr:revisionPtr revIDLastSave="1" documentId="8_{05DC5B35-8EFA-4E79-A77E-0B919DB3E7A3}" xr6:coauthVersionLast="47" xr6:coauthVersionMax="47" xr10:uidLastSave="{A1EA42A0-F6AC-4604-AB8E-C014E47E92F5}"/>
  <bookViews>
    <workbookView xWindow="1270" yWindow="2500" windowWidth="14400" windowHeight="7270" xr2:uid="{C4DE9E7B-21C5-4C12-AC68-A05C64A1D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8" i="1" l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47" i="1"/>
  <c r="E41" i="1"/>
  <c r="E40" i="1"/>
  <c r="E39" i="1"/>
  <c r="E38" i="1"/>
  <c r="E37" i="1"/>
  <c r="E42" i="1" s="1"/>
  <c r="E33" i="1"/>
  <c r="E32" i="1"/>
  <c r="E31" i="1"/>
  <c r="E30" i="1"/>
  <c r="E29" i="1"/>
  <c r="E28" i="1"/>
  <c r="E34" i="1" s="1"/>
  <c r="E27" i="1"/>
  <c r="E26" i="1"/>
  <c r="E22" i="1"/>
  <c r="E21" i="1"/>
  <c r="E20" i="1"/>
  <c r="E19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95" i="1" l="1"/>
  <c r="E16" i="1"/>
  <c r="E23" i="1"/>
  <c r="E44" i="1" l="1"/>
  <c r="E97" i="1" s="1"/>
  <c r="E99" i="1" s="1"/>
</calcChain>
</file>

<file path=xl/sharedStrings.xml><?xml version="1.0" encoding="utf-8"?>
<sst xmlns="http://schemas.openxmlformats.org/spreadsheetml/2006/main" count="76" uniqueCount="50">
  <si>
    <t>RINCIAN JUM'AT 19 JUNI</t>
  </si>
  <si>
    <t>Nama Barang</t>
  </si>
  <si>
    <t>QTY</t>
  </si>
  <si>
    <t>Satuan</t>
  </si>
  <si>
    <t>Harga</t>
  </si>
  <si>
    <t>Jumlah</t>
  </si>
  <si>
    <t>TOTAL SAYUR</t>
  </si>
  <si>
    <t>BUAH</t>
  </si>
  <si>
    <t>TOTAL BUAH</t>
  </si>
  <si>
    <t>PROTEIN</t>
  </si>
  <si>
    <t>TOTAL PROTEIN</t>
  </si>
  <si>
    <t>KARBOHIDRAT</t>
  </si>
  <si>
    <t>Kg</t>
  </si>
  <si>
    <t>TOTAL KARBOHIDRAT</t>
  </si>
  <si>
    <t xml:space="preserve">TOTAL SEMUA </t>
  </si>
  <si>
    <t xml:space="preserve">Nama barang </t>
  </si>
  <si>
    <t xml:space="preserve">Harga </t>
  </si>
  <si>
    <t>TOTAL KERINGAN DAN BUMBU</t>
  </si>
  <si>
    <t>TOTAL BAHAN DAN KERINGAN</t>
  </si>
  <si>
    <t>PAGU</t>
  </si>
  <si>
    <t>Jeruk Sunkist</t>
  </si>
  <si>
    <t>Mie Spaghetti</t>
  </si>
  <si>
    <t>Buncis</t>
  </si>
  <si>
    <t>Wortel</t>
  </si>
  <si>
    <t>Jagung Manis</t>
  </si>
  <si>
    <t>Ayam Giling</t>
  </si>
  <si>
    <t>Tahu Kopong</t>
  </si>
  <si>
    <t>Pcs</t>
  </si>
  <si>
    <t>Kulit Dimsum</t>
  </si>
  <si>
    <t>Pck</t>
  </si>
  <si>
    <t>Minyak Kunci Mas</t>
  </si>
  <si>
    <t>Pch</t>
  </si>
  <si>
    <t>Royco Ayam</t>
  </si>
  <si>
    <t xml:space="preserve">Sasa </t>
  </si>
  <si>
    <t>Kunyit Bubuk</t>
  </si>
  <si>
    <t>Garam</t>
  </si>
  <si>
    <t>Sereh</t>
  </si>
  <si>
    <t>Bawang Bombai</t>
  </si>
  <si>
    <t>Bawang Putih</t>
  </si>
  <si>
    <t>Merica Endul</t>
  </si>
  <si>
    <t>Ketumbar Bubuk</t>
  </si>
  <si>
    <t>Jahe</t>
  </si>
  <si>
    <t>Lengkuas</t>
  </si>
  <si>
    <t>Gula putih</t>
  </si>
  <si>
    <t>Tepung Terigu</t>
  </si>
  <si>
    <t>Saus Delmonte Tomat</t>
  </si>
  <si>
    <t>Saus Delmonte Cabe</t>
  </si>
  <si>
    <t>Mentega</t>
  </si>
  <si>
    <t>Bawang Daun</t>
  </si>
  <si>
    <t>Telur Ayam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</si>
</sst>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-* #,##0_-;\-* #,##0_-;_-* &quot;-&quot;??_-;_-@_-"/>
    <numFmt numFmtId="166" formatCode="_-&quot;Rp&quot;* #,##0_-;\-&quot;Rp&quot;* #,##0_-;_-&quot;Rp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4B083"/>
        <bgColor rgb="FFF4B083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/>
    </xf>
    <xf numFmtId="164" fontId="4" fillId="0" borderId="3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4" fontId="5" fillId="4" borderId="1" xfId="0" applyNumberFormat="1" applyFont="1" applyFill="1" applyBorder="1" applyAlignment="1">
      <alignment horizontal="right"/>
    </xf>
    <xf numFmtId="164" fontId="5" fillId="0" borderId="0" xfId="0" applyNumberFormat="1" applyFont="1" applyAlignment="1">
      <alignment horizontal="right"/>
    </xf>
    <xf numFmtId="0" fontId="4" fillId="0" borderId="0" xfId="0" applyFont="1"/>
    <xf numFmtId="0" fontId="3" fillId="4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right"/>
    </xf>
    <xf numFmtId="0" fontId="4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right"/>
    </xf>
    <xf numFmtId="164" fontId="5" fillId="4" borderId="10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right"/>
    </xf>
    <xf numFmtId="164" fontId="5" fillId="4" borderId="12" xfId="0" applyNumberFormat="1" applyFont="1" applyFill="1" applyBorder="1" applyAlignment="1">
      <alignment horizontal="right"/>
    </xf>
    <xf numFmtId="164" fontId="5" fillId="4" borderId="18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center"/>
    </xf>
    <xf numFmtId="165" fontId="4" fillId="0" borderId="1" xfId="1" applyNumberFormat="1" applyFont="1" applyBorder="1"/>
    <xf numFmtId="164" fontId="4" fillId="0" borderId="0" xfId="0" applyNumberFormat="1" applyFont="1"/>
    <xf numFmtId="0" fontId="3" fillId="5" borderId="3" xfId="0" applyFont="1" applyFill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6" fontId="4" fillId="0" borderId="0" xfId="2" applyNumberFormat="1" applyFont="1" applyFill="1" applyBorder="1" applyAlignment="1">
      <alignment horizontal="right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/>
    <xf numFmtId="0" fontId="4" fillId="0" borderId="18" xfId="0" applyFont="1" applyBorder="1"/>
    <xf numFmtId="0" fontId="4" fillId="0" borderId="19" xfId="0" applyFont="1" applyBorder="1"/>
    <xf numFmtId="164" fontId="4" fillId="0" borderId="2" xfId="0" applyNumberFormat="1" applyFont="1" applyBorder="1"/>
    <xf numFmtId="0" fontId="4" fillId="0" borderId="6" xfId="0" applyFont="1" applyBorder="1"/>
    <xf numFmtId="0" fontId="6" fillId="0" borderId="0" xfId="0" applyFont="1"/>
    <xf numFmtId="164" fontId="5" fillId="0" borderId="3" xfId="0" applyNumberFormat="1" applyFont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5" borderId="1" xfId="0" applyFont="1" applyFill="1" applyBorder="1"/>
    <xf numFmtId="0" fontId="4" fillId="0" borderId="3" xfId="0" applyFont="1" applyBorder="1" applyAlignment="1">
      <alignment horizontal="center" vertical="center"/>
    </xf>
    <xf numFmtId="41" fontId="4" fillId="0" borderId="3" xfId="0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right"/>
    </xf>
    <xf numFmtId="3" fontId="4" fillId="0" borderId="3" xfId="0" applyNumberFormat="1" applyFont="1" applyBorder="1" applyAlignment="1">
      <alignment horizontal="center" vertical="center"/>
    </xf>
    <xf numFmtId="165" fontId="4" fillId="0" borderId="3" xfId="1" applyNumberFormat="1" applyFont="1" applyBorder="1" applyAlignment="1">
      <alignment horizontal="right"/>
    </xf>
    <xf numFmtId="0" fontId="4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165" fontId="3" fillId="5" borderId="22" xfId="1" applyNumberFormat="1" applyFont="1" applyFill="1" applyBorder="1" applyAlignment="1">
      <alignment horizontal="center"/>
    </xf>
    <xf numFmtId="165" fontId="3" fillId="5" borderId="21" xfId="1" applyNumberFormat="1" applyFont="1" applyFill="1" applyBorder="1" applyAlignment="1">
      <alignment horizontal="center"/>
    </xf>
    <xf numFmtId="165" fontId="3" fillId="5" borderId="2" xfId="1" applyNumberFormat="1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A5598-4231-45BE-9B5D-F262726D38A9}">
  <dimension ref="A1:F99"/>
  <sheetViews>
    <sheetView tabSelected="1" zoomScale="73" workbookViewId="0">
      <selection sqref="A1:E1"/>
    </sheetView>
  </sheetViews>
  <sheetFormatPr defaultRowHeight="14.5" x14ac:dyDescent="0.35"/>
  <cols>
    <col min="1" max="1" width="21.54296875" bestFit="1" customWidth="1"/>
    <col min="2" max="2" width="5.54296875" customWidth="1"/>
    <col min="3" max="3" width="7.7265625" bestFit="1" customWidth="1"/>
    <col min="4" max="4" width="9.90625" customWidth="1"/>
    <col min="5" max="5" width="12.81640625" bestFit="1" customWidth="1"/>
    <col min="9" max="9" width="9.54296875" bestFit="1" customWidth="1"/>
  </cols>
  <sheetData>
    <row r="1" spans="1:6" ht="15.5" x14ac:dyDescent="0.35">
      <c r="A1" s="74" t="s">
        <v>0</v>
      </c>
      <c r="B1" s="74"/>
      <c r="C1" s="74"/>
      <c r="D1" s="74"/>
      <c r="E1" s="74"/>
      <c r="F1" s="1"/>
    </row>
    <row r="2" spans="1:6" ht="15.5" x14ac:dyDescent="0.3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/>
    </row>
    <row r="3" spans="1:6" ht="15.5" x14ac:dyDescent="0.35">
      <c r="A3" s="5" t="s">
        <v>22</v>
      </c>
      <c r="B3" s="6">
        <v>50</v>
      </c>
      <c r="C3" s="6" t="s">
        <v>12</v>
      </c>
      <c r="D3" s="7">
        <v>16000</v>
      </c>
      <c r="E3" s="8">
        <f t="shared" ref="E3:E15" si="0">B3*D3</f>
        <v>800000</v>
      </c>
      <c r="F3" s="9"/>
    </row>
    <row r="4" spans="1:6" ht="15.5" x14ac:dyDescent="0.35">
      <c r="A4" s="5" t="s">
        <v>23</v>
      </c>
      <c r="B4" s="6">
        <v>80</v>
      </c>
      <c r="C4" s="6" t="s">
        <v>12</v>
      </c>
      <c r="D4" s="10">
        <v>18000</v>
      </c>
      <c r="E4" s="10">
        <f t="shared" si="0"/>
        <v>1440000</v>
      </c>
      <c r="F4" s="9"/>
    </row>
    <row r="5" spans="1:6" ht="15.5" x14ac:dyDescent="0.35">
      <c r="A5" s="5" t="s">
        <v>24</v>
      </c>
      <c r="B5" s="6">
        <v>20</v>
      </c>
      <c r="C5" s="6" t="s">
        <v>12</v>
      </c>
      <c r="D5" s="10">
        <v>16000</v>
      </c>
      <c r="E5" s="10">
        <f t="shared" si="0"/>
        <v>320000</v>
      </c>
      <c r="F5" s="9"/>
    </row>
    <row r="6" spans="1:6" ht="15.5" x14ac:dyDescent="0.35">
      <c r="A6" s="5" t="s">
        <v>48</v>
      </c>
      <c r="B6" s="6">
        <v>4</v>
      </c>
      <c r="C6" s="6" t="s">
        <v>12</v>
      </c>
      <c r="D6" s="10">
        <v>15000</v>
      </c>
      <c r="E6" s="10">
        <f t="shared" si="0"/>
        <v>60000</v>
      </c>
      <c r="F6" s="9"/>
    </row>
    <row r="7" spans="1:6" ht="15.5" x14ac:dyDescent="0.35">
      <c r="A7" s="5"/>
      <c r="B7" s="6"/>
      <c r="C7" s="6"/>
      <c r="D7" s="10"/>
      <c r="E7" s="10">
        <f t="shared" si="0"/>
        <v>0</v>
      </c>
      <c r="F7" s="9"/>
    </row>
    <row r="8" spans="1:6" ht="15.5" x14ac:dyDescent="0.35">
      <c r="A8" s="5"/>
      <c r="B8" s="6"/>
      <c r="C8" s="6"/>
      <c r="D8" s="10"/>
      <c r="E8" s="10">
        <f t="shared" si="0"/>
        <v>0</v>
      </c>
      <c r="F8" s="9"/>
    </row>
    <row r="9" spans="1:6" ht="15.5" x14ac:dyDescent="0.35">
      <c r="A9" s="5"/>
      <c r="B9" s="6"/>
      <c r="C9" s="6"/>
      <c r="D9" s="10"/>
      <c r="E9" s="10">
        <f t="shared" si="0"/>
        <v>0</v>
      </c>
      <c r="F9" s="9"/>
    </row>
    <row r="10" spans="1:6" ht="15.5" x14ac:dyDescent="0.35">
      <c r="A10" s="5"/>
      <c r="B10" s="6"/>
      <c r="C10" s="6"/>
      <c r="D10" s="10"/>
      <c r="E10" s="10">
        <f t="shared" si="0"/>
        <v>0</v>
      </c>
      <c r="F10" s="9"/>
    </row>
    <row r="11" spans="1:6" ht="15.5" x14ac:dyDescent="0.35">
      <c r="A11" s="5"/>
      <c r="B11" s="6"/>
      <c r="C11" s="6"/>
      <c r="D11" s="10"/>
      <c r="E11" s="10">
        <f t="shared" si="0"/>
        <v>0</v>
      </c>
      <c r="F11" s="9"/>
    </row>
    <row r="12" spans="1:6" ht="15.5" x14ac:dyDescent="0.35">
      <c r="A12" s="5"/>
      <c r="B12" s="6"/>
      <c r="C12" s="6"/>
      <c r="D12" s="10"/>
      <c r="E12" s="10">
        <f t="shared" si="0"/>
        <v>0</v>
      </c>
      <c r="F12" s="9"/>
    </row>
    <row r="13" spans="1:6" ht="15.5" x14ac:dyDescent="0.35">
      <c r="A13" s="5"/>
      <c r="B13" s="6"/>
      <c r="C13" s="6"/>
      <c r="D13" s="10"/>
      <c r="E13" s="10">
        <f t="shared" si="0"/>
        <v>0</v>
      </c>
      <c r="F13" s="9"/>
    </row>
    <row r="14" spans="1:6" ht="15.5" x14ac:dyDescent="0.35">
      <c r="A14" s="5"/>
      <c r="B14" s="6"/>
      <c r="C14" s="6"/>
      <c r="D14" s="10"/>
      <c r="E14" s="10">
        <f t="shared" si="0"/>
        <v>0</v>
      </c>
      <c r="F14" s="9"/>
    </row>
    <row r="15" spans="1:6" ht="15.5" x14ac:dyDescent="0.35">
      <c r="A15" s="5"/>
      <c r="B15" s="6"/>
      <c r="C15" s="6"/>
      <c r="D15" s="10"/>
      <c r="E15" s="10">
        <f t="shared" si="0"/>
        <v>0</v>
      </c>
      <c r="F15" s="9"/>
    </row>
    <row r="16" spans="1:6" ht="15.5" x14ac:dyDescent="0.35">
      <c r="A16" s="66" t="s">
        <v>6</v>
      </c>
      <c r="B16" s="66"/>
      <c r="C16" s="66"/>
      <c r="D16" s="66"/>
      <c r="E16" s="11">
        <f>SUM(E3:E15)</f>
        <v>2620000</v>
      </c>
      <c r="F16" s="12"/>
    </row>
    <row r="17" spans="1:6" ht="15.5" x14ac:dyDescent="0.35">
      <c r="A17" s="13"/>
      <c r="B17" s="13"/>
      <c r="C17" s="13"/>
      <c r="D17" s="13"/>
      <c r="E17" s="13"/>
      <c r="F17" s="13"/>
    </row>
    <row r="18" spans="1:6" ht="15.5" x14ac:dyDescent="0.35">
      <c r="A18" s="70" t="s">
        <v>7</v>
      </c>
      <c r="B18" s="70"/>
      <c r="C18" s="70"/>
      <c r="D18" s="70"/>
      <c r="E18" s="14"/>
      <c r="F18" s="15"/>
    </row>
    <row r="19" spans="1:6" ht="15.5" x14ac:dyDescent="0.35">
      <c r="A19" s="16" t="s">
        <v>20</v>
      </c>
      <c r="B19" s="17">
        <v>140</v>
      </c>
      <c r="C19" s="18" t="s">
        <v>12</v>
      </c>
      <c r="D19" s="19">
        <v>42000</v>
      </c>
      <c r="E19" s="10">
        <f t="shared" ref="E19:E22" si="1">B19*D19</f>
        <v>5880000</v>
      </c>
      <c r="F19" s="9"/>
    </row>
    <row r="20" spans="1:6" ht="15.5" x14ac:dyDescent="0.35">
      <c r="A20" s="16"/>
      <c r="B20" s="17"/>
      <c r="C20" s="18"/>
      <c r="D20" s="19"/>
      <c r="E20" s="10">
        <f t="shared" si="1"/>
        <v>0</v>
      </c>
      <c r="F20" s="9"/>
    </row>
    <row r="21" spans="1:6" ht="15.5" x14ac:dyDescent="0.35">
      <c r="A21" s="16"/>
      <c r="B21" s="17"/>
      <c r="C21" s="18"/>
      <c r="D21" s="19"/>
      <c r="E21" s="10">
        <f t="shared" si="1"/>
        <v>0</v>
      </c>
      <c r="F21" s="9"/>
    </row>
    <row r="22" spans="1:6" ht="15.5" x14ac:dyDescent="0.35">
      <c r="A22" s="16"/>
      <c r="B22" s="6"/>
      <c r="C22" s="20"/>
      <c r="D22" s="21"/>
      <c r="E22" s="10">
        <f t="shared" si="1"/>
        <v>0</v>
      </c>
      <c r="F22" s="9"/>
    </row>
    <row r="23" spans="1:6" ht="15.5" x14ac:dyDescent="0.35">
      <c r="A23" s="67" t="s">
        <v>8</v>
      </c>
      <c r="B23" s="68"/>
      <c r="C23" s="68"/>
      <c r="D23" s="69"/>
      <c r="E23" s="22">
        <f>SUM(E19:E22)</f>
        <v>5880000</v>
      </c>
      <c r="F23" s="23"/>
    </row>
    <row r="24" spans="1:6" ht="15.5" x14ac:dyDescent="0.35">
      <c r="A24" s="13"/>
      <c r="B24" s="13"/>
      <c r="C24" s="13"/>
      <c r="D24" s="13"/>
      <c r="E24" s="13"/>
      <c r="F24" s="13"/>
    </row>
    <row r="25" spans="1:6" ht="15.5" x14ac:dyDescent="0.35">
      <c r="A25" s="70" t="s">
        <v>9</v>
      </c>
      <c r="B25" s="70"/>
      <c r="C25" s="70"/>
      <c r="D25" s="70"/>
      <c r="E25" s="24"/>
      <c r="F25" s="25"/>
    </row>
    <row r="26" spans="1:6" ht="15.5" x14ac:dyDescent="0.35">
      <c r="A26" s="16" t="s">
        <v>25</v>
      </c>
      <c r="B26" s="17">
        <v>136</v>
      </c>
      <c r="C26" s="18" t="s">
        <v>12</v>
      </c>
      <c r="D26" s="19">
        <v>58000</v>
      </c>
      <c r="E26" s="10">
        <f t="shared" ref="E26:E33" si="2">B26*D26</f>
        <v>7888000</v>
      </c>
      <c r="F26" s="9"/>
    </row>
    <row r="27" spans="1:6" ht="15.5" x14ac:dyDescent="0.35">
      <c r="A27" s="5" t="s">
        <v>49</v>
      </c>
      <c r="B27" s="6">
        <v>3</v>
      </c>
      <c r="C27" s="6" t="s">
        <v>12</v>
      </c>
      <c r="D27" s="10">
        <v>30000</v>
      </c>
      <c r="E27" s="10">
        <f t="shared" si="2"/>
        <v>90000</v>
      </c>
      <c r="F27" s="9"/>
    </row>
    <row r="28" spans="1:6" ht="15.5" x14ac:dyDescent="0.35">
      <c r="A28" s="5" t="s">
        <v>26</v>
      </c>
      <c r="B28" s="6">
        <v>2754</v>
      </c>
      <c r="C28" s="6" t="s">
        <v>27</v>
      </c>
      <c r="D28" s="10">
        <v>500</v>
      </c>
      <c r="E28" s="10">
        <f t="shared" si="2"/>
        <v>1377000</v>
      </c>
      <c r="F28" s="9"/>
    </row>
    <row r="29" spans="1:6" ht="15.5" x14ac:dyDescent="0.35">
      <c r="A29" s="5"/>
      <c r="B29" s="6"/>
      <c r="C29" s="6"/>
      <c r="D29" s="10"/>
      <c r="E29" s="10">
        <f t="shared" si="2"/>
        <v>0</v>
      </c>
      <c r="F29" s="9"/>
    </row>
    <row r="30" spans="1:6" ht="15.5" x14ac:dyDescent="0.35">
      <c r="A30" s="5"/>
      <c r="B30" s="26"/>
      <c r="C30" s="26"/>
      <c r="D30" s="10"/>
      <c r="E30" s="10">
        <f t="shared" si="2"/>
        <v>0</v>
      </c>
      <c r="F30" s="9"/>
    </row>
    <row r="31" spans="1:6" ht="15.5" x14ac:dyDescent="0.35">
      <c r="A31" s="5"/>
      <c r="B31" s="26"/>
      <c r="C31" s="26"/>
      <c r="D31" s="10"/>
      <c r="E31" s="10">
        <f t="shared" si="2"/>
        <v>0</v>
      </c>
      <c r="F31" s="9"/>
    </row>
    <row r="32" spans="1:6" ht="15.5" x14ac:dyDescent="0.35">
      <c r="A32" s="5"/>
      <c r="B32" s="26"/>
      <c r="C32" s="26"/>
      <c r="D32" s="10"/>
      <c r="E32" s="10">
        <f t="shared" si="2"/>
        <v>0</v>
      </c>
      <c r="F32" s="9"/>
    </row>
    <row r="33" spans="1:6" ht="15.5" x14ac:dyDescent="0.35">
      <c r="A33" s="5"/>
      <c r="B33" s="26"/>
      <c r="C33" s="26"/>
      <c r="D33" s="10"/>
      <c r="E33" s="10">
        <f t="shared" si="2"/>
        <v>0</v>
      </c>
      <c r="F33" s="9"/>
    </row>
    <row r="34" spans="1:6" ht="15.5" x14ac:dyDescent="0.35">
      <c r="A34" s="71" t="s">
        <v>10</v>
      </c>
      <c r="B34" s="72"/>
      <c r="C34" s="72"/>
      <c r="D34" s="73"/>
      <c r="E34" s="27">
        <f>SUM(E26:E33)</f>
        <v>9355000</v>
      </c>
      <c r="F34" s="12"/>
    </row>
    <row r="35" spans="1:6" ht="15.5" x14ac:dyDescent="0.35">
      <c r="A35" s="13"/>
      <c r="B35" s="13"/>
      <c r="C35" s="13"/>
      <c r="D35" s="13"/>
      <c r="E35" s="13"/>
      <c r="F35" s="13"/>
    </row>
    <row r="36" spans="1:6" ht="15.5" x14ac:dyDescent="0.35">
      <c r="A36" s="63" t="s">
        <v>11</v>
      </c>
      <c r="B36" s="64"/>
      <c r="C36" s="64"/>
      <c r="D36" s="65"/>
      <c r="E36" s="28"/>
      <c r="F36" s="12"/>
    </row>
    <row r="37" spans="1:6" ht="15.5" x14ac:dyDescent="0.35">
      <c r="A37" s="5" t="s">
        <v>21</v>
      </c>
      <c r="B37" s="29">
        <v>70</v>
      </c>
      <c r="C37" s="29" t="s">
        <v>12</v>
      </c>
      <c r="D37" s="30">
        <v>30000</v>
      </c>
      <c r="E37" s="8">
        <f t="shared" ref="E37:E41" si="3">B37*D37</f>
        <v>2100000</v>
      </c>
      <c r="F37" s="12"/>
    </row>
    <row r="38" spans="1:6" ht="15.5" x14ac:dyDescent="0.35">
      <c r="A38" s="5" t="s">
        <v>28</v>
      </c>
      <c r="B38" s="29">
        <v>40</v>
      </c>
      <c r="C38" s="29" t="s">
        <v>29</v>
      </c>
      <c r="D38" s="30">
        <v>20000</v>
      </c>
      <c r="E38" s="8">
        <f t="shared" si="3"/>
        <v>800000</v>
      </c>
      <c r="F38" s="12"/>
    </row>
    <row r="39" spans="1:6" ht="15.5" x14ac:dyDescent="0.35">
      <c r="A39" s="5"/>
      <c r="B39" s="29"/>
      <c r="C39" s="29"/>
      <c r="D39" s="30"/>
      <c r="E39" s="8">
        <f t="shared" si="3"/>
        <v>0</v>
      </c>
      <c r="F39" s="12"/>
    </row>
    <row r="40" spans="1:6" ht="15.5" x14ac:dyDescent="0.35">
      <c r="A40" s="5"/>
      <c r="B40" s="29"/>
      <c r="C40" s="29"/>
      <c r="D40" s="5"/>
      <c r="E40" s="8">
        <f t="shared" si="3"/>
        <v>0</v>
      </c>
      <c r="F40" s="12"/>
    </row>
    <row r="41" spans="1:6" ht="15.5" x14ac:dyDescent="0.35">
      <c r="A41" s="5"/>
      <c r="B41" s="29"/>
      <c r="C41" s="5"/>
      <c r="D41" s="5"/>
      <c r="E41" s="8">
        <f t="shared" si="3"/>
        <v>0</v>
      </c>
      <c r="F41" s="12"/>
    </row>
    <row r="42" spans="1:6" ht="15.5" x14ac:dyDescent="0.35">
      <c r="A42" s="66" t="s">
        <v>13</v>
      </c>
      <c r="B42" s="66"/>
      <c r="C42" s="66"/>
      <c r="D42" s="66"/>
      <c r="E42" s="11">
        <f>SUM(E37:E41)</f>
        <v>2900000</v>
      </c>
      <c r="F42" s="12"/>
    </row>
    <row r="43" spans="1:6" ht="15.5" x14ac:dyDescent="0.35">
      <c r="A43" s="13"/>
      <c r="B43" s="13"/>
      <c r="C43" s="13"/>
      <c r="D43" s="13"/>
      <c r="E43" s="13"/>
      <c r="F43" s="13"/>
    </row>
    <row r="44" spans="1:6" ht="15.5" x14ac:dyDescent="0.35">
      <c r="A44" s="66" t="s">
        <v>14</v>
      </c>
      <c r="B44" s="66"/>
      <c r="C44" s="66"/>
      <c r="D44" s="66"/>
      <c r="E44" s="11">
        <f>E16+E23+E34+E42</f>
        <v>20755000</v>
      </c>
      <c r="F44" s="12"/>
    </row>
    <row r="45" spans="1:6" ht="15.5" x14ac:dyDescent="0.35">
      <c r="A45" s="13"/>
      <c r="B45" s="13"/>
      <c r="C45" s="13"/>
      <c r="D45" s="31"/>
      <c r="E45" s="31"/>
      <c r="F45" s="31"/>
    </row>
    <row r="46" spans="1:6" ht="15.5" x14ac:dyDescent="0.35">
      <c r="A46" s="32" t="s">
        <v>15</v>
      </c>
      <c r="B46" s="32" t="s">
        <v>2</v>
      </c>
      <c r="C46" s="32" t="s">
        <v>3</v>
      </c>
      <c r="D46" s="33" t="s">
        <v>16</v>
      </c>
      <c r="E46" s="33" t="s">
        <v>5</v>
      </c>
      <c r="F46" s="34"/>
    </row>
    <row r="47" spans="1:6" ht="15.5" x14ac:dyDescent="0.35">
      <c r="A47" s="36" t="s">
        <v>30</v>
      </c>
      <c r="B47" s="48">
        <v>18</v>
      </c>
      <c r="C47" s="49" t="s">
        <v>31</v>
      </c>
      <c r="D47" s="50">
        <v>46000</v>
      </c>
      <c r="E47" s="10">
        <f t="shared" ref="E47:E94" si="4">B47*D47</f>
        <v>828000</v>
      </c>
      <c r="F47" s="35"/>
    </row>
    <row r="48" spans="1:6" ht="15.5" x14ac:dyDescent="0.35">
      <c r="A48" s="36" t="s">
        <v>32</v>
      </c>
      <c r="B48" s="48">
        <v>7</v>
      </c>
      <c r="C48" s="51" t="s">
        <v>27</v>
      </c>
      <c r="D48" s="52">
        <v>13000</v>
      </c>
      <c r="E48" s="10">
        <f t="shared" si="4"/>
        <v>91000</v>
      </c>
      <c r="F48" s="35"/>
    </row>
    <row r="49" spans="1:6" ht="15.5" x14ac:dyDescent="0.35">
      <c r="A49" s="36" t="s">
        <v>33</v>
      </c>
      <c r="B49" s="48">
        <v>6</v>
      </c>
      <c r="C49" s="51" t="s">
        <v>27</v>
      </c>
      <c r="D49" s="52">
        <v>26000</v>
      </c>
      <c r="E49" s="10">
        <f t="shared" si="4"/>
        <v>156000</v>
      </c>
      <c r="F49" s="35"/>
    </row>
    <row r="50" spans="1:6" ht="15.5" x14ac:dyDescent="0.35">
      <c r="A50" s="36" t="s">
        <v>34</v>
      </c>
      <c r="B50" s="48">
        <v>3</v>
      </c>
      <c r="C50" s="51" t="s">
        <v>29</v>
      </c>
      <c r="D50" s="52">
        <v>15000</v>
      </c>
      <c r="E50" s="10">
        <f t="shared" si="4"/>
        <v>45000</v>
      </c>
      <c r="F50" s="35"/>
    </row>
    <row r="51" spans="1:6" ht="15.5" x14ac:dyDescent="0.35">
      <c r="A51" s="36" t="s">
        <v>35</v>
      </c>
      <c r="B51" s="48">
        <v>8</v>
      </c>
      <c r="C51" s="51" t="s">
        <v>27</v>
      </c>
      <c r="D51" s="52">
        <v>3000</v>
      </c>
      <c r="E51" s="10">
        <f t="shared" si="4"/>
        <v>24000</v>
      </c>
      <c r="F51" s="35"/>
    </row>
    <row r="52" spans="1:6" ht="15.5" x14ac:dyDescent="0.35">
      <c r="A52" s="36" t="s">
        <v>36</v>
      </c>
      <c r="B52" s="48">
        <v>1</v>
      </c>
      <c r="C52" s="51" t="s">
        <v>12</v>
      </c>
      <c r="D52" s="52">
        <v>18000</v>
      </c>
      <c r="E52" s="10">
        <f t="shared" si="4"/>
        <v>18000</v>
      </c>
      <c r="F52" s="35"/>
    </row>
    <row r="53" spans="1:6" ht="15.5" x14ac:dyDescent="0.35">
      <c r="A53" s="36" t="s">
        <v>37</v>
      </c>
      <c r="B53" s="48">
        <v>5</v>
      </c>
      <c r="C53" s="49" t="s">
        <v>12</v>
      </c>
      <c r="D53" s="52">
        <v>40000</v>
      </c>
      <c r="E53" s="10">
        <f t="shared" si="4"/>
        <v>200000</v>
      </c>
      <c r="F53" s="35"/>
    </row>
    <row r="54" spans="1:6" ht="15.5" x14ac:dyDescent="0.35">
      <c r="A54" s="36" t="s">
        <v>38</v>
      </c>
      <c r="B54" s="48">
        <v>6</v>
      </c>
      <c r="C54" s="49" t="s">
        <v>12</v>
      </c>
      <c r="D54" s="52">
        <v>45000</v>
      </c>
      <c r="E54" s="10">
        <f t="shared" si="4"/>
        <v>270000</v>
      </c>
      <c r="F54" s="35"/>
    </row>
    <row r="55" spans="1:6" ht="15.5" x14ac:dyDescent="0.35">
      <c r="A55" s="36" t="s">
        <v>39</v>
      </c>
      <c r="B55" s="48">
        <v>1</v>
      </c>
      <c r="C55" s="53" t="s">
        <v>12</v>
      </c>
      <c r="D55" s="50">
        <v>196000</v>
      </c>
      <c r="E55" s="10">
        <f t="shared" si="4"/>
        <v>196000</v>
      </c>
      <c r="F55" s="35"/>
    </row>
    <row r="56" spans="1:6" ht="15.5" x14ac:dyDescent="0.35">
      <c r="A56" s="36" t="s">
        <v>40</v>
      </c>
      <c r="B56" s="48">
        <v>4</v>
      </c>
      <c r="C56" s="51" t="s">
        <v>29</v>
      </c>
      <c r="D56" s="52">
        <v>15000</v>
      </c>
      <c r="E56" s="10">
        <f t="shared" si="4"/>
        <v>60000</v>
      </c>
      <c r="F56" s="35"/>
    </row>
    <row r="57" spans="1:6" ht="15.5" x14ac:dyDescent="0.35">
      <c r="A57" s="5" t="s">
        <v>41</v>
      </c>
      <c r="B57" s="6">
        <v>1</v>
      </c>
      <c r="C57" s="6" t="s">
        <v>12</v>
      </c>
      <c r="D57" s="30">
        <v>18000</v>
      </c>
      <c r="E57" s="10">
        <f t="shared" si="4"/>
        <v>18000</v>
      </c>
      <c r="F57" s="35"/>
    </row>
    <row r="58" spans="1:6" ht="15.5" x14ac:dyDescent="0.35">
      <c r="A58" s="36" t="s">
        <v>42</v>
      </c>
      <c r="B58" s="48">
        <v>1</v>
      </c>
      <c r="C58" s="53" t="s">
        <v>12</v>
      </c>
      <c r="D58" s="50">
        <v>18000</v>
      </c>
      <c r="E58" s="10">
        <f t="shared" si="4"/>
        <v>18000</v>
      </c>
      <c r="F58" s="35"/>
    </row>
    <row r="59" spans="1:6" ht="15.5" x14ac:dyDescent="0.35">
      <c r="A59" s="36" t="s">
        <v>43</v>
      </c>
      <c r="B59" s="48">
        <v>6</v>
      </c>
      <c r="C59" s="53" t="s">
        <v>12</v>
      </c>
      <c r="D59" s="50">
        <v>20000</v>
      </c>
      <c r="E59" s="10">
        <f t="shared" si="4"/>
        <v>120000</v>
      </c>
      <c r="F59" s="35"/>
    </row>
    <row r="60" spans="1:6" ht="15.5" x14ac:dyDescent="0.35">
      <c r="A60" s="36" t="s">
        <v>44</v>
      </c>
      <c r="B60" s="48">
        <v>50</v>
      </c>
      <c r="C60" s="51" t="s">
        <v>12</v>
      </c>
      <c r="D60" s="52">
        <v>13500</v>
      </c>
      <c r="E60" s="10">
        <f t="shared" si="4"/>
        <v>675000</v>
      </c>
      <c r="F60" s="35"/>
    </row>
    <row r="61" spans="1:6" ht="15.5" x14ac:dyDescent="0.35">
      <c r="A61" s="5" t="s">
        <v>45</v>
      </c>
      <c r="B61" s="6">
        <v>20</v>
      </c>
      <c r="C61" s="6" t="s">
        <v>31</v>
      </c>
      <c r="D61" s="30">
        <v>21000</v>
      </c>
      <c r="E61" s="10">
        <f t="shared" si="4"/>
        <v>420000</v>
      </c>
      <c r="F61" s="35"/>
    </row>
    <row r="62" spans="1:6" ht="15.5" x14ac:dyDescent="0.35">
      <c r="A62" s="36" t="s">
        <v>46</v>
      </c>
      <c r="B62" s="48">
        <v>10</v>
      </c>
      <c r="C62" s="53" t="s">
        <v>31</v>
      </c>
      <c r="D62" s="50">
        <v>25000</v>
      </c>
      <c r="E62" s="10">
        <f t="shared" si="4"/>
        <v>250000</v>
      </c>
      <c r="F62" s="35"/>
    </row>
    <row r="63" spans="1:6" ht="15.5" x14ac:dyDescent="0.35">
      <c r="A63" s="36" t="s">
        <v>47</v>
      </c>
      <c r="B63" s="37">
        <v>6</v>
      </c>
      <c r="C63" s="37" t="s">
        <v>12</v>
      </c>
      <c r="D63" s="8">
        <v>25000</v>
      </c>
      <c r="E63" s="10">
        <f t="shared" si="4"/>
        <v>150000</v>
      </c>
      <c r="F63" s="35"/>
    </row>
    <row r="64" spans="1:6" ht="15.5" x14ac:dyDescent="0.35">
      <c r="A64" s="36"/>
      <c r="B64" s="37"/>
      <c r="C64" s="37"/>
      <c r="D64" s="8"/>
      <c r="E64" s="10">
        <f t="shared" si="4"/>
        <v>0</v>
      </c>
      <c r="F64" s="35"/>
    </row>
    <row r="65" spans="1:6" ht="15.5" x14ac:dyDescent="0.35">
      <c r="A65" s="36"/>
      <c r="B65" s="37"/>
      <c r="C65" s="37"/>
      <c r="D65" s="8"/>
      <c r="E65" s="10">
        <f t="shared" si="4"/>
        <v>0</v>
      </c>
      <c r="F65" s="35"/>
    </row>
    <row r="66" spans="1:6" ht="15.5" x14ac:dyDescent="0.35">
      <c r="A66" s="36"/>
      <c r="B66" s="37"/>
      <c r="C66" s="37"/>
      <c r="D66" s="8"/>
      <c r="E66" s="10">
        <f t="shared" si="4"/>
        <v>0</v>
      </c>
      <c r="F66" s="31"/>
    </row>
    <row r="67" spans="1:6" ht="15.5" x14ac:dyDescent="0.35">
      <c r="A67" s="36"/>
      <c r="B67" s="36"/>
      <c r="C67" s="36"/>
      <c r="D67" s="38"/>
      <c r="E67" s="10">
        <f t="shared" si="4"/>
        <v>0</v>
      </c>
      <c r="F67" s="31"/>
    </row>
    <row r="68" spans="1:6" ht="15.5" x14ac:dyDescent="0.35">
      <c r="A68" s="36"/>
      <c r="B68" s="36"/>
      <c r="C68" s="39"/>
      <c r="D68" s="38"/>
      <c r="E68" s="10">
        <f t="shared" si="4"/>
        <v>0</v>
      </c>
      <c r="F68" s="31"/>
    </row>
    <row r="69" spans="1:6" ht="15.5" x14ac:dyDescent="0.35">
      <c r="A69" s="39"/>
      <c r="B69" s="40"/>
      <c r="C69" s="5"/>
      <c r="D69" s="41"/>
      <c r="E69" s="10">
        <f t="shared" si="4"/>
        <v>0</v>
      </c>
      <c r="F69" s="31"/>
    </row>
    <row r="70" spans="1:6" ht="15.5" x14ac:dyDescent="0.35">
      <c r="A70" s="5"/>
      <c r="B70" s="42"/>
      <c r="C70" s="5"/>
      <c r="D70" s="41"/>
      <c r="E70" s="10">
        <f t="shared" si="4"/>
        <v>0</v>
      </c>
      <c r="F70" s="31"/>
    </row>
    <row r="71" spans="1:6" ht="15.5" x14ac:dyDescent="0.35">
      <c r="A71" s="5"/>
      <c r="B71" s="42"/>
      <c r="C71" s="5"/>
      <c r="D71" s="41"/>
      <c r="E71" s="10">
        <f t="shared" si="4"/>
        <v>0</v>
      </c>
      <c r="F71" s="31"/>
    </row>
    <row r="72" spans="1:6" ht="15.5" x14ac:dyDescent="0.35">
      <c r="A72" s="5"/>
      <c r="B72" s="42"/>
      <c r="C72" s="5"/>
      <c r="D72" s="41"/>
      <c r="E72" s="10">
        <f t="shared" si="4"/>
        <v>0</v>
      </c>
      <c r="F72" s="31"/>
    </row>
    <row r="73" spans="1:6" ht="15.5" x14ac:dyDescent="0.35">
      <c r="A73" s="5"/>
      <c r="B73" s="42"/>
      <c r="C73" s="5"/>
      <c r="D73" s="41"/>
      <c r="E73" s="10">
        <f t="shared" si="4"/>
        <v>0</v>
      </c>
      <c r="F73" s="31"/>
    </row>
    <row r="74" spans="1:6" ht="15.5" x14ac:dyDescent="0.35">
      <c r="A74" s="5"/>
      <c r="B74" s="42"/>
      <c r="C74" s="5"/>
      <c r="D74" s="41"/>
      <c r="E74" s="10">
        <f t="shared" si="4"/>
        <v>0</v>
      </c>
      <c r="F74" s="31"/>
    </row>
    <row r="75" spans="1:6" ht="15.5" x14ac:dyDescent="0.35">
      <c r="A75" s="5"/>
      <c r="B75" s="42"/>
      <c r="C75" s="5"/>
      <c r="D75" s="41"/>
      <c r="E75" s="10">
        <f t="shared" si="4"/>
        <v>0</v>
      </c>
      <c r="F75" s="31"/>
    </row>
    <row r="76" spans="1:6" ht="15.5" x14ac:dyDescent="0.35">
      <c r="A76" s="5"/>
      <c r="B76" s="42"/>
      <c r="C76" s="5"/>
      <c r="D76" s="41"/>
      <c r="E76" s="10">
        <f t="shared" si="4"/>
        <v>0</v>
      </c>
      <c r="F76" s="31"/>
    </row>
    <row r="77" spans="1:6" ht="15.5" x14ac:dyDescent="0.35">
      <c r="A77" s="5"/>
      <c r="B77" s="42"/>
      <c r="C77" s="5"/>
      <c r="D77" s="41"/>
      <c r="E77" s="10">
        <f t="shared" si="4"/>
        <v>0</v>
      </c>
      <c r="F77" s="31"/>
    </row>
    <row r="78" spans="1:6" ht="15.5" x14ac:dyDescent="0.35">
      <c r="A78" s="5"/>
      <c r="B78" s="42"/>
      <c r="C78" s="5"/>
      <c r="D78" s="41"/>
      <c r="E78" s="10">
        <f t="shared" si="4"/>
        <v>0</v>
      </c>
      <c r="F78" s="31"/>
    </row>
    <row r="79" spans="1:6" ht="15.5" x14ac:dyDescent="0.35">
      <c r="A79" s="5"/>
      <c r="B79" s="42"/>
      <c r="C79" s="5"/>
      <c r="D79" s="41"/>
      <c r="E79" s="10">
        <f t="shared" si="4"/>
        <v>0</v>
      </c>
      <c r="F79" s="31"/>
    </row>
    <row r="80" spans="1:6" ht="15.5" x14ac:dyDescent="0.35">
      <c r="A80" s="5"/>
      <c r="B80" s="42"/>
      <c r="C80" s="5"/>
      <c r="D80" s="41"/>
      <c r="E80" s="10">
        <f t="shared" si="4"/>
        <v>0</v>
      </c>
      <c r="F80" s="31"/>
    </row>
    <row r="81" spans="1:6" ht="15.5" x14ac:dyDescent="0.35">
      <c r="A81" s="5"/>
      <c r="B81" s="42"/>
      <c r="C81" s="5"/>
      <c r="D81" s="41"/>
      <c r="E81" s="10">
        <f t="shared" si="4"/>
        <v>0</v>
      </c>
      <c r="F81" s="31"/>
    </row>
    <row r="82" spans="1:6" ht="15.5" x14ac:dyDescent="0.35">
      <c r="A82" s="5"/>
      <c r="B82" s="42"/>
      <c r="C82" s="5"/>
      <c r="D82" s="41"/>
      <c r="E82" s="10">
        <f t="shared" si="4"/>
        <v>0</v>
      </c>
      <c r="F82" s="31"/>
    </row>
    <row r="83" spans="1:6" ht="15.5" x14ac:dyDescent="0.35">
      <c r="A83" s="5"/>
      <c r="B83" s="42"/>
      <c r="C83" s="5"/>
      <c r="D83" s="41"/>
      <c r="E83" s="10">
        <f t="shared" si="4"/>
        <v>0</v>
      </c>
      <c r="F83" s="31"/>
    </row>
    <row r="84" spans="1:6" ht="15.5" x14ac:dyDescent="0.35">
      <c r="A84" s="5"/>
      <c r="B84" s="42"/>
      <c r="C84" s="5"/>
      <c r="D84" s="41"/>
      <c r="E84" s="10">
        <f t="shared" si="4"/>
        <v>0</v>
      </c>
      <c r="F84" s="31"/>
    </row>
    <row r="85" spans="1:6" ht="15.5" x14ac:dyDescent="0.35">
      <c r="A85" s="5"/>
      <c r="B85" s="42"/>
      <c r="C85" s="5"/>
      <c r="D85" s="41"/>
      <c r="E85" s="10">
        <f t="shared" si="4"/>
        <v>0</v>
      </c>
      <c r="F85" s="31"/>
    </row>
    <row r="86" spans="1:6" ht="15.5" x14ac:dyDescent="0.35">
      <c r="A86" s="5"/>
      <c r="B86" s="42"/>
      <c r="C86" s="5"/>
      <c r="D86" s="41"/>
      <c r="E86" s="10">
        <f t="shared" si="4"/>
        <v>0</v>
      </c>
      <c r="F86" s="31"/>
    </row>
    <row r="87" spans="1:6" ht="15.5" x14ac:dyDescent="0.35">
      <c r="A87" s="5"/>
      <c r="B87" s="42"/>
      <c r="C87" s="5"/>
      <c r="D87" s="41"/>
      <c r="E87" s="10">
        <f t="shared" si="4"/>
        <v>0</v>
      </c>
      <c r="F87" s="31"/>
    </row>
    <row r="88" spans="1:6" ht="15.5" x14ac:dyDescent="0.35">
      <c r="A88" s="5"/>
      <c r="B88" s="42"/>
      <c r="C88" s="5"/>
      <c r="D88" s="41"/>
      <c r="E88" s="10">
        <f t="shared" si="4"/>
        <v>0</v>
      </c>
      <c r="F88" s="31"/>
    </row>
    <row r="89" spans="1:6" ht="15.5" x14ac:dyDescent="0.35">
      <c r="A89" s="5"/>
      <c r="B89" s="42"/>
      <c r="C89" s="5"/>
      <c r="D89" s="41"/>
      <c r="E89" s="10">
        <f t="shared" si="4"/>
        <v>0</v>
      </c>
      <c r="F89" s="31"/>
    </row>
    <row r="90" spans="1:6" ht="15.5" x14ac:dyDescent="0.35">
      <c r="A90" s="5"/>
      <c r="B90" s="42"/>
      <c r="C90" s="5"/>
      <c r="D90" s="41"/>
      <c r="E90" s="10">
        <f t="shared" si="4"/>
        <v>0</v>
      </c>
      <c r="F90" s="31"/>
    </row>
    <row r="91" spans="1:6" ht="15.5" x14ac:dyDescent="0.35">
      <c r="A91" s="5"/>
      <c r="B91" s="42"/>
      <c r="C91" s="5"/>
      <c r="D91" s="41"/>
      <c r="E91" s="10">
        <f t="shared" si="4"/>
        <v>0</v>
      </c>
      <c r="F91" s="31"/>
    </row>
    <row r="92" spans="1:6" ht="15.5" x14ac:dyDescent="0.35">
      <c r="A92" s="5"/>
      <c r="B92" s="42"/>
      <c r="C92" s="5"/>
      <c r="D92" s="41"/>
      <c r="E92" s="10">
        <f t="shared" si="4"/>
        <v>0</v>
      </c>
      <c r="F92" s="31"/>
    </row>
    <row r="93" spans="1:6" ht="15.5" x14ac:dyDescent="0.35">
      <c r="A93" s="5"/>
      <c r="B93" s="42"/>
      <c r="C93" s="5"/>
      <c r="D93" s="41"/>
      <c r="E93" s="10">
        <f t="shared" si="4"/>
        <v>0</v>
      </c>
      <c r="F93" s="31"/>
    </row>
    <row r="94" spans="1:6" ht="15.5" x14ac:dyDescent="0.35">
      <c r="A94" s="5"/>
      <c r="B94" s="42"/>
      <c r="C94" s="5"/>
      <c r="D94" s="41"/>
      <c r="E94" s="10">
        <f t="shared" si="4"/>
        <v>0</v>
      </c>
      <c r="F94" s="43"/>
    </row>
    <row r="95" spans="1:6" ht="15.5" x14ac:dyDescent="0.35">
      <c r="A95" s="54" t="s">
        <v>17</v>
      </c>
      <c r="B95" s="55"/>
      <c r="C95" s="55"/>
      <c r="D95" s="56"/>
      <c r="E95" s="44">
        <f>SUM(E47:E94)</f>
        <v>3539000</v>
      </c>
      <c r="F95" s="12"/>
    </row>
    <row r="96" spans="1:6" ht="15.5" x14ac:dyDescent="0.35">
      <c r="A96" s="13"/>
      <c r="B96" s="13"/>
      <c r="C96" s="13"/>
      <c r="D96" s="31"/>
      <c r="E96" s="31"/>
      <c r="F96" s="31"/>
    </row>
    <row r="97" spans="1:6" ht="15.5" x14ac:dyDescent="0.35">
      <c r="A97" s="57" t="s">
        <v>18</v>
      </c>
      <c r="B97" s="58"/>
      <c r="C97" s="58"/>
      <c r="D97" s="59"/>
      <c r="E97" s="45">
        <f>E44+E95</f>
        <v>24294000</v>
      </c>
      <c r="F97" s="46"/>
    </row>
    <row r="98" spans="1:6" ht="15.5" x14ac:dyDescent="0.35">
      <c r="A98" s="43"/>
      <c r="B98" s="43"/>
      <c r="C98" s="43"/>
      <c r="D98" s="43"/>
      <c r="E98" s="43"/>
      <c r="F98" s="43"/>
    </row>
    <row r="99" spans="1:6" ht="15.5" x14ac:dyDescent="0.35">
      <c r="A99" s="47" t="s">
        <v>19</v>
      </c>
      <c r="B99" s="60">
        <v>24294000</v>
      </c>
      <c r="C99" s="61"/>
      <c r="D99" s="62"/>
      <c r="E99" s="45">
        <f>B99-E97</f>
        <v>0</v>
      </c>
      <c r="F99" s="46"/>
    </row>
  </sheetData>
  <mergeCells count="12">
    <mergeCell ref="A23:D23"/>
    <mergeCell ref="A25:D25"/>
    <mergeCell ref="A34:D34"/>
    <mergeCell ref="A1:E1"/>
    <mergeCell ref="A16:D16"/>
    <mergeCell ref="A18:D18"/>
    <mergeCell ref="A95:D95"/>
    <mergeCell ref="A97:D97"/>
    <mergeCell ref="B99:D99"/>
    <mergeCell ref="A36:D36"/>
    <mergeCell ref="A42:D42"/>
    <mergeCell ref="A44:D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narko saputra</dc:creator>
  <cp:lastModifiedBy>narko saputra</cp:lastModifiedBy>
  <dcterms:created xsi:type="dcterms:W3CDTF">2026-06-19T05:57:07Z</dcterms:created>
  <dcterms:modified xsi:type="dcterms:W3CDTF">2026-06-19T10:35:21Z</dcterms:modified>
</cp:coreProperties>
</file>